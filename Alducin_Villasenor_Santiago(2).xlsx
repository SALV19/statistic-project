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ecmx-my.sharepoint.com/personal/cdorante_tec_mx/Documents/ATec/202613/TI3006C/Project1/Calificación_Proyectos_Finales/"/>
    </mc:Choice>
  </mc:AlternateContent>
  <xr:revisionPtr revIDLastSave="16" documentId="11_3E73EC8CEB63AFAD1CEAEFED379BF558F6CEE0E8" xr6:coauthVersionLast="47" xr6:coauthVersionMax="47" xr10:uidLastSave="{8940FD2A-473C-433D-882F-C98DAD2ACBC2}"/>
  <bookViews>
    <workbookView xWindow="-120" yWindow="-120" windowWidth="29040" windowHeight="15720" xr2:uid="{00000000-000D-0000-FFFF-FFFF00000000}"/>
  </bookViews>
  <sheets>
    <sheet name="Mi calificación final" sheetId="1" r:id="rId1"/>
    <sheet name="Rúbric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 l="1"/>
</calcChain>
</file>

<file path=xl/sharedStrings.xml><?xml version="1.0" encoding="utf-8"?>
<sst xmlns="http://schemas.openxmlformats.org/spreadsheetml/2006/main" count="142" uniqueCount="113">
  <si>
    <t>Calificación final del proyecto — Evidencia Bloque 1</t>
  </si>
  <si>
    <t>Alducin Villaseñor, Santiago</t>
  </si>
  <si>
    <t>Fabricante asignado</t>
  </si>
  <si>
    <t>FAB2</t>
  </si>
  <si>
    <t>Producto top utilizado</t>
  </si>
  <si>
    <t>Deslac Deslactosada 1 L (correcto)</t>
  </si>
  <si>
    <t>Archivo de la entrega final</t>
  </si>
  <si>
    <t>milk_project-4.ipynb</t>
  </si>
  <si>
    <t>¿Subió trabajo nuevo en esta entrega?</t>
  </si>
  <si>
    <t>Sí</t>
  </si>
  <si>
    <t>Excel con los cambios atendidos</t>
  </si>
  <si>
    <t>No</t>
  </si>
  <si>
    <t>Dónde lo documentó</t>
  </si>
  <si>
    <t>mismo contenido del Excel de la ronda anterior, sólo reacomodado a una columna</t>
  </si>
  <si>
    <t>En esta entrega se recalificó ÚNICAMENTE la Parte 2. La Parte 1 y su retroalimentación se conservan de la revisión anterior.</t>
  </si>
  <si>
    <t>PARTE 1 — 60% de la calificación final · NO se recalificó en esta entrega</t>
  </si>
  <si>
    <t>Sección</t>
  </si>
  <si>
    <t>Obtenido</t>
  </si>
  <si>
    <t>Máximo</t>
  </si>
  <si>
    <t>Prelim.</t>
  </si>
  <si>
    <t>Prom. grupo</t>
  </si>
  <si>
    <t>Qué se evaluó</t>
  </si>
  <si>
    <t>1. Data wrangling</t>
  </si>
  <si>
    <t>Nulos, duplicados FAB–ID–AÑO–SEMANA, colapso semanal→mensual con FECHAM, precios ponderados, panel.</t>
  </si>
  <si>
    <t>2a. Estadística descriptiva</t>
  </si>
  <si>
    <t>Market share por año, top-80% en U12M, evolución de ventas y precios, descriptivos e interpretación.</t>
  </si>
  <si>
    <t>2b. Correlaciones</t>
  </si>
  <si>
    <t>Análisis de correlación justificado, con matriz o gráfico e interpretación de los resultados.</t>
  </si>
  <si>
    <t>3a. Especificación del modelo</t>
  </si>
  <si>
    <t>Modelo log-log ln(Litros) ~ ln(Precio) sobre el producto top correcto, solo con precio.</t>
  </si>
  <si>
    <t>3b. Interpretación del modelo</t>
  </si>
  <si>
    <t>Elasticidad, estadístico t, p-value, intervalo de confianza al 95%, R² y limitaciones.</t>
  </si>
  <si>
    <t>CALIFICACIÓN PARTE 1</t>
  </si>
  <si>
    <t>Promedio del grupo: 82.4 · Mediana: 86.5</t>
  </si>
  <si>
    <t>PARTE 2 — 40% de la calificación final · RECALIFICADA en esta entrega</t>
  </si>
  <si>
    <t>Anterior</t>
  </si>
  <si>
    <t>Objetivo 1.4 — Diseño del modelo extendido</t>
  </si>
  <si>
    <t>Explicar (sin correr) cómo incorporar elasticidad cruzada, estacionalidad y tendencia.</t>
  </si>
  <si>
    <t>Objetivo 1.5 — Especificación del modelo</t>
  </si>
  <si>
    <t>ln(Litros) ~ ln(Precio) + tendencia + estacionalidad sobre la misma muestra.</t>
  </si>
  <si>
    <t>Objetivo 1.5 — Interpretación del modelo</t>
  </si>
  <si>
    <t>Elasticidad, tendencia, estacionalidad, IC, R² vs R² ajustado y las tres preguntas.</t>
  </si>
  <si>
    <t>Objetivo 1.6 — Investigación de pronóstico</t>
  </si>
  <si>
    <t>Subtotal Parte 2</t>
  </si>
  <si>
    <t>Penalización por el Excel de cambios</t>
  </si>
  <si>
    <t>CALIFICACIÓN PARTE 2</t>
  </si>
  <si>
    <t>Promedio del grupo en la Parte 2: 88.5 · Mediana: 92.5</t>
  </si>
  <si>
    <t>CALIFICACIÓN FINAL</t>
  </si>
  <si>
    <t>Antes de esta entrega tu calificación final era 76.2. Promedio del grupo: 84.9 · Mediana: 89.8.</t>
  </si>
  <si>
    <t>RESUMEN — entrega final</t>
  </si>
  <si>
    <t>Nota sobre esta entrega</t>
  </si>
  <si>
    <t>La entrega final trae cambios reales, pero todos en la Parte 1 (precio ponderado, ventas mensuales, estadísticos descriptivos, interpretación de la tabla OLS). La Parte 2 quedó idéntica.</t>
  </si>
  <si>
    <t>PARTE 2 · Objetivo 1.4 — Diseño del modelo extendido (12/20, antes 12)</t>
  </si>
  <si>
    <t>Sin cambios respecto a la entrega anterior. La celda sigue siendo la misma: dos párrafos que dicen que el modelo puede mejorarse con temporalidad y con el precio de la competencia, más la conclusión de que 'podemos crear un modelo de regresión multivariable'. La dirección es correcta y te apoyas en tu propio análisis de correlación entre meses, por eso mantienes los 12 puntos. Pero los 8 que faltan siguen siendo los mismos que te señalé y que no se atendieron: (1) escribir la ECUACIÓN propuesta, ln(Q_t) = beta0 + beta1·ln(P_t) + suma_j gamma_j·ln(P_jt) + suma_m delta_m·D_mt + theta·t + u_t; (2) decir qué representa gamma_j —la elasticidad cruzada— y qué signo esperas (positivo si el producto rival es sustituto, porque si sube su precio tu volumen sube); (3) especificar cómo entrarían la estacionalidad (11 dummies con enero de base, o términos de Fourier) y la tendencia (t lineal sobre ln Q, que equivale a crecimiento exponencial); y (4) anticipar el problema central del bloque cruzado, que es la multicolinealidad: en esta base los precios de todos los fabricantes correlacionan entre 0.8 y 0.98 por la inflación láctea común, así que meterlos en niveles hace que ningún gamma_j salga significativo. La salida es reparametrizar en precio RELATIVO, ln(P_propio/P_categoría). Eran cuatro frases de markdown.</t>
  </si>
  <si>
    <t>PARTE 2 · Objetivo 1.5 — MODELO (25/30, antes 25)</t>
  </si>
  <si>
    <t>Sin cambios. La especificación sigue siendo la correcta y sigue siendo lo mejor de tu Parte 2: ln(LITROS) ~ ln(PRECIO) + TREND + 11 dummies mensuales con drop_first=True, sobre los 43 meses completos, con beta1 = -5.4685, tendencia +0.0187 y R² = 0.742, que coinciden con la solución de referencia. Los dos descuentos que te señalé siguen ahí: (1) no incorporaste ln(N_SEMANAS) como control de calendario —15 de los 43 meses tienen 5 semanas y 28 tienen 4, o sea un ~25% de diferencia de volumen puramente contable que se va al residual y contamina la estacionalidad y el error estándar del precio—; y (2) el modelo simple con el que comparas sigue estimado sobre 12 observaciones (se ve en tu propia tabla de errores: va de 2024-08 a 2025-07) mientras que el extendido usa 43. No son comparables, y la pregunta del enunciado —si la elasticidad cambió al agregar controles— exige que ambos corran sobre la MISMA muestra. Correr el modelo simple sobre los 43 meses es una línea de código y te habría dado beta1 = -3.23, que es el punto de partida correcto para la comparación.</t>
  </si>
  <si>
    <t>PARTE 2 · Objetivo 1.5 — INTERPRETACIÓN (18/30, antes 18)</t>
  </si>
  <si>
    <t>Sin cambios, y con ello se mantienen los dos errores concretos que te señalé, que son los que más pesan en esta sección. (1) Sigues escribiendo que «un aumento del precio en un 1% solo disminuiría la demanda de este en un 3.7%». Tu propio coeficiente, impreso tres celdas arriba, es -5.4685. El 3.7 no aparece en ninguna salida de tu notebook y es justamente el número central de toda la sección: la elasticidad correcta es -5.47, es decir 1% más de precio se asocia con 5.47% menos litros. (2) Sigue la contradicción: escribes en la misma frase que «la elasticidad en el precio aumentó» y que «el valor dependiente del precio bajó en magnitud». Ambas cosas no pueden ser ciertas a la vez, y además la comparación que estás haciendo (de -6.57 a -5.47) no es válida porque cambiaste la muestra de 12 a 43 meses. Lo que sí se conserva y sigue contando a tu favor: interpretas correctamente la tendencia como crecimiento mensual pequeño pero positivo, notas que sólo la constante y ln(P) son significativos mientras las dummies quedan entre 0.08 y 0.8 de p-value, ahora agregas que el intervalo del precio va de -8 a -2 y no pasa por cero, y lees el Durbin-Watson de 1.297 como autocorrelación positiva moderada con la conclusión correcta de que queda estructura temporal sin explicar. Tu frase «el modelo reparte la responsabilidad de la única variable en otros parámetros» sigue siendo una descripción informal pero acertada del sesgo por variable omitida. Con corregir el -3.7 por el -5.47 y resolver la contradicción, esta sección habría subido a 24 o 25.</t>
  </si>
  <si>
    <t>PARTE 2 · Objetivo 1.6 — Investigación de pronóstico (20/20, antes 20)</t>
  </si>
  <si>
    <t>PARTE 1 · Retroalimentación general (de la revisión anterior, sin cambios)</t>
  </si>
  <si>
    <t>Santiago, la mejora en el wrangling es la más visible de tu entrega y es real: ahora sí detectas los registros repetidos en la llave ID–AÑO1–SEMANA y, en lugar de borrarlos con drop_duplicates, los SUMAS en el groupby, que es exactamente el tratamiento correcto (son registros parciales del mismo SKU en la misma semana). También recalculas el precio como ΣVENTA_VALOR/ΣLITROS en los dos niveles de agregación —semanal y mensual— en vez de promediarlo, y el colapso a mensual con AÑO1+MES es equivalente a usar FECHAM porque en este archivo la columna MES siempre coincide con el mes de FECHAM. Lo que todavía falta para el 30: nunca documentas los 3 nulos de precio ni las filas con LITROS=0 o venta negativa (desaparecen solos al agregar, pero eso hay que decirlo, no dejar que pase por accidente), no verificas que los totales se conserven después de cada colapso, y asumes que todos los paquetes traen 12 unidades para construir PRECIO_UNITARIO_PAQUETE en vez de recalcularlo como ΣVALOR/ΣPAQUETES. En descriptiva subes: el market share anual en valor te sale bien (FAB1 44.6→46.4→41.4→33.7) y el Pareto de los U12M identifica correctamente a FAB1+FAB3+FAB5 con ~86.6%, con lectura escrita propia. Te falta el share en volumen —que es lo que revela el posicionamiento de precio de cada fab— y la gráfica de evolución que muestras es de la categoría completa, no de FAB2, aunque el texto habla de FAB2. Donde no logras avanzar es en correlaciones: la matriz mes-contra-mes está construida con 3 o 4 observaciones por celda (un año por dato), así que esos coeficientes son ruido, no señal; y la segunda matriz mezcla variables que son idénticas por construcción (VENTA_VALOR = PRECIO×LITROS y PRECIO_PAQUETE = 12×PRECIO_LITRO), de modo que las correlaciones altas que reportas no informan nada. Lo que sí sirve es el −0.50 entre litros y precio, pero lo lees mal: una correlación NO es una elasticidad; decir «si el precio sube 1% el volumen baja 0.5%» confunde dos cosas distintas (ese número sale de la regresión, no de la correlación).</t>
  </si>
  <si>
    <t>PARTE 1 · Retroalimentación de la interpretación (de la revisión anterior, sin cambios)</t>
  </si>
  <si>
    <t>Cubres los cinco elementos que pedía la rúbrica y con tus propios números: β₁ = −6.57 leído como elasticidad porcentual, la etiqueta correcta de demanda elástica, t = −4.92 con la lógica de las desviaciones estándar respecto a H₀: β₁ = 0, el p-value con la observación honesta de que nunca es exactamente cero, el IC 95% [−9.54, −3.59] con la lectura correcta de que al no contener el cero el efecto es significativo, la R² = 0.708 y hasta el Durbin-Watson = 1.839. Eso es más de lo que hizo la mayoría del grupo. El problema que arrastra toda la sección es que corriste el modelo sobre SOLO los últimos 12 meses (12 observaciones, 10 grados de libertad) en vez de los 43 meses de historia, y eso no lo comentas: con n = 12 el intervalo de confianza es enorme y por eso te sale −6.57 cuando con la muestra completa el valor de referencia de FAB2 es −3.23. Un β₁ que se mueve al doble según cuántos meses uses es justamente lo que hay que discutir. Tampoco mencionas ninguna limitación de fondo: variable omitida (la tendencia y la estacionalidad están dentro del residual), endogeneidad del precio unitario —que es ΣVALOR/ΣLITROS, así que promoción y volumen se mueven juntos por definición contable— ni qué implica que la R² sea 0.7 con tan pocos datos. Y cuidado con la lectura de la R²: no es «qué tan bien predice el modelo el futuro», es la proporción de la varianza del log-volumen explicada dentro de la muestra.</t>
  </si>
  <si>
    <t>Nota heurística sobre uso de LLM — Parte 1: 40/100 · Parte 2: 35/100 (NO afecta la calificación)</t>
  </si>
  <si>
    <t>Sin cambios respecto a la evaluación anterior. La prosa sigue siendo propia, con erratas de tecleo ('produuctos', 'anteriór', 'comparasión', 'responsabildiad'), decisiones justificadas en primera persona y hasta una nota personal («pensé en este método porque se planea utilizar en mi servicio becario») que ningún texto generado escribiría. Señal acotada a algunos comentarios de código numerados.</t>
  </si>
  <si>
    <t>Los criterios completos están en la hoja "Rúbrica". Si tienes dudas sobre tu calificación, acércate en horario de asesoría.</t>
  </si>
  <si>
    <t>Rúbrica de evaluación — Evidencia Bloque 1 (Partes 1 y 2)</t>
  </si>
  <si>
    <t>Statistics for AI · Calificación final = 60% Parte 1 + 40% Parte 2 · Entrega final: se recalificó únicamente la Parte 2</t>
  </si>
  <si>
    <t>PARTE 1 — Data wrangling, análisis descriptivo y modelo simple (100 puntos) · NO se recalificó</t>
  </si>
  <si>
    <t>Puntos</t>
  </si>
  <si>
    <t>Criterio de evaluación</t>
  </si>
  <si>
    <t>30</t>
  </si>
  <si>
    <t>Parte de 30. −10 si no detecta o trata mal los duplicados FABRICANTE–ID–AÑO–SEMANA (deben SUMARSE: 556 filas / 278 llaves en 5 SKUs). −10 si colapsa mal de semanal a mensual (debe usarse FECHAM, no el mes de FECHAW). −10 si promedia simple los precios en lugar de recalcular Σvalor/Σlitros. −2 a −5 por errores menores (no revisar nulos, no verificar ID↔PRODUCTO, no documentar decisiones, no comprobar que los totales se conservan).</t>
  </si>
  <si>
    <t>15</t>
  </si>
  <si>
    <t>Market share por año, identificación del top-80% en U12M (FAB1+FAB3+FAB5 = 86.65%), evolución de ventas y precios en el tiempo, descriptivos relevantes, y sobre todo la LECTURA ESCRITA de lo que muestran las tablas y gráficas. Gráficas sin interpretación valen la mitad. Se penaliza fuerte interpretar cifras que no aparecen en la salida del propio notebook.</t>
  </si>
  <si>
    <t>Análisis de correlación justificado (qué variables, en logs o niveles, a qué nivel de agregación y por qué), con matriz o gráfico e interpretación de los resultados. Correlacionar variables trivialmente redundantes (venta valor contra litros) sin discutirlo vale poco. Se premia correlacionar precio contra volumen, precios entre competidores o volúmenes entre productos, y notar la multicolinealidad entre precios.</t>
  </si>
  <si>
    <t>Modelo log-log ln(Litros) ~ ln(Precio) sobre el producto top correcto del fabricante asignado (el de mayor venta en los últimos 12 meses), usando SOLO el precio como explicativa. Descuentos por niveles sin logaritmos, semi-log sin justificar, producto top equivocado, o agregar el modelo al nivel de fabricante en vez de producto.</t>
  </si>
  <si>
    <t>25</t>
  </si>
  <si>
    <t>Peso mayor. Debe explicarse CON PALABRAS PROPIAS: (i) el coeficiente β₁ como elasticidad —cambio porcentual en la cantidad ante 1% de cambio en el precio— y si la demanda es elástica o inelástica; (ii) el estadístico t y el p-value: qué hipótesis se prueba y si se rechaza; (iii) el intervalo de confianza al 95%, sobre todo si contiene el cero; (iv) la R²; (v) idealmente por qué el resultado puede ser engañoso (variable omitida, tendencia, estacionalidad, endogeneidad, autocorrelación). Se penaliza con fuerza interpretar β₁ como pesos o cambio absoluto, afirmar que un coeficiente NO significativo demuestra que el precio sí afecta la demanda, confundir R² con significancia, invertir el signo, o una interpretación genérica que no usa los números propios. Interpretación ausente o de una línea: máximo 5.</t>
  </si>
  <si>
    <t>PARTE 2 — Diseño, modelo extendido e investigación (100 puntos) · Recalificada en esta entrega</t>
  </si>
  <si>
    <t>20</t>
  </si>
  <si>
    <t>Explicar (NO correr) cómo incorporar elasticidad cruzada con otros productos, estacionalidad y tendencia de crecimiento. Se evalúa que se escriba la ecuación completa y que se interprete cada término: β₁ como elasticidad propia manteniendo lo demás constante; γⱼ como elasticidad cruzada, con signo positivo compatible con sustitutos y negativo con complementarios; las dummies mensuales (11 y no 12, para evitar la trampa de la variable dummy) o una alternativa parsimoniosa; y la tendencia. Se premia discutir el riesgo de multicolinealidad entre precios y el costo en grados de libertad con solo 43 observaciones.</t>
  </si>
  <si>
    <t>Objetivo 1.5 — Modelo con estacionalidad y tendencia</t>
  </si>
  <si>
    <t>60</t>
  </si>
  <si>
    <t>Se califican por separado la ESPECIFICACIÓN (30) y la INTERPRETACIÓN (30). Especificación: ln(Litros) ~ ln(Precio) + tendencia + estacionalidad, estimado sobre la misma muestra que el modelo simple, con la estacionalidad correctamente parametrizada. Interpretación: leer β₁ como elasticidad y clasificar la demanda; responder las tres preguntas —si cambió la estimación, qué pasó con la significancia estadística, y por qué cambió y cuál estimación es mejor— usando los números propios; interpretar el coeficiente de tendencia y la estacionalidad; leer el intervalo de confianza; y distinguir R² de R² ajustado. Se premia diagnosticar la causa del cambio (sesgo por variable omitida) y notar que un coeficiente puede ganar magnitud pero perder precisión.</t>
  </si>
  <si>
    <t>Objetivo 1.6 — Investigación de modelos de pronóstico</t>
  </si>
  <si>
    <t>Criterio BINARIO: 20 si el alumno incluyó la investigación sobre cómo pronosticar precio y ventas del producto top a 24 meses considerando modelos de regresión, series de tiempo y machine learning / IA; 0 si no la incluyó. No se descuenta por profundidad.</t>
  </si>
  <si>
    <t>Penalización aplicable a la Parte 2 en la entrega final</t>
  </si>
  <si>
    <t>Penalización por el Excel de cambios (entrega final)</t>
  </si>
  <si>
    <t>−10</t>
  </si>
  <si>
    <t>En esta última entrega se pidió devolver el Excel de retroalimentación indicando qué se cambió a partir de la retroalimentación de la Parte 2. Si el alumno NO entregó Excel, o entregó el MISMO archivo de la ronda anterior sin documentar lo nuevo, se restan 10 puntos del total de la PARTE 2. No aplica a quienes no subieron trabajo nuevo: en ese caso la Parte 2 conserva íntegra su calificación anterior.</t>
  </si>
  <si>
    <t>Ponderación y criterio de recalificación</t>
  </si>
  <si>
    <t>Parte 1</t>
  </si>
  <si>
    <t>60%</t>
  </si>
  <si>
    <t>Calificación de la Parte 1 sobre 100, ya con la penalización del Excel aplicada.</t>
  </si>
  <si>
    <t>Parte 2</t>
  </si>
  <si>
    <t>40%</t>
  </si>
  <si>
    <t>Objetivo 1.4 (20) + Objetivo 1.5 (60) + Objetivo 1.6 (20) = 100.</t>
  </si>
  <si>
    <t>100</t>
  </si>
  <si>
    <t>Criterio de recalificación de la Parte 2</t>
  </si>
  <si>
    <t>—</t>
  </si>
  <si>
    <t>La Parte 1 y su retroalimentación se copian sin cambios de la revisión anterior. La Parte 2 se vuelve a calificar con la misma rúbrica partiendo de la calificación previa y subiéndola sólo donde hay mejora visible; nunca se baja el contenido. Quien volvió a subir exactamente el mismo archivo conserva su calificación anterior de la Parte 2.</t>
  </si>
  <si>
    <t>Referencia técnica y nota metodológica</t>
  </si>
  <si>
    <t>Valores de referencia</t>
  </si>
  <si>
    <t>Panel mensual correcto: 3,296 filas semanales → 3,018 llaves únicas (556 filas / 278 llaves duplicadas en 5 SKUs) → 710 filas producto-mes, 43 meses (ene-2022 a jul-2025), 26 SKUs. Top-80% U12M: FAB1+FAB3+FAB5 = 86.65%. Modelo simple log-log, 43 obs: FAB1 β=−0.35 (p=0.60, NO significativa, R²=0.007) · FAB2 β=−3.23 (p&lt;0.0001, R²=0.65) · FAB3 β=−1.77 (p=0.0001, R²=0.32). Modelo extendido con tendencia y dummies mensuales: FAB1 β=−3.91 (p=0.003, R²=0.47) · FAB2 β=−5.47 (p=0.0003, R²=0.74) · FAB3 β≈−3.99 con estacionalidad de Fourier (p=0.0003, R²=0.42). Productos top U12M: FAB1 "Leche Clasica Entera 1 L", FAB2 "Deslac Deslactosada 1 L", FAB3 "1L Ent Entera".</t>
  </si>
  <si>
    <t>Prob. LLM (Partes 1 y 2)</t>
  </si>
  <si>
    <t>0-100</t>
  </si>
  <si>
    <t>Estimación HEURÍSTICA sobre el TEXTO, no sobre el código, y calculada por separado para cada parte. Elevan la probabilidad: estructura simétrica impecable, viñetas en negritas uniformes, terminología perfecta desconectada de los números propios, ausencia total de erratas, afirmaciones que contradicen la salida impresa del propio notebook, y referencias a técnicas muy por encima del nivel del curso. La bajan: erratas, coloquialismos, razonamiento en voz propia, dudas explícitas y referencias a decisiones tomadas en secciones anteriores. Es un indicio para conversar en asesoría, NO una prueba, y NO afecta la calificación.</t>
  </si>
  <si>
    <t>Se restan 5 puntos de la Parte 2 porque no se entregó el Excel documentando qué se cambió a partir de la retroalimentación anterior.</t>
  </si>
  <si>
    <t>CALIFICACIÓN FINAL = 50% × Parte 1 (77) + 50% × Parte 2 (70)</t>
  </si>
  <si>
    <t>La entrega final mejoró la Parte 1 pero la Parte 2 quedó exactamente igual: el diseño del Objetivo 1.4 sigue sin ecuación ni elasticidad cruzada, el modelo extendido sigue sin control de calendario y comparándose contra un modelo simple de 12 observaciones, y los dos errores señalados en la interpretación (citar -3.7 cuando el coeficiente es -5.47, y la contradicción sobre si la elasticidad subió o bajó) siguen sin corregirse. El contenido conserva su calificación de 75, pero se aplica la penalización de -5 porque el Excel entregado es el mismo de la ronda anterior y documenta correcciones de la Parte 1, no lo atendido tras esta retroalimentación.</t>
  </si>
  <si>
    <t>Sin cambios; 10 / 20 pts. no hubo investigación de otros métodos, sólo comentaste lo de la simulación Monte Carlo. la simulación de Monte Carlo no es en sí un modelo de pronóstico sino una técnica para propagar incertidumbre —necesita un modelo generador debajo (tu propia regresión, o un ARIMA) que produzca la trayectoria central antes de simular escenarios alrededor de ella. Las dos familias que el enunciado pedía y que siguen ausentes son los autorregresivos (ARIMA/SARIMA, el estándar de la industria para series mensuales con estacionalidad, con intervalos de predicción incorporados) y algún método de machine learning con variables rezagadas. Y falta el punto operativo: para pronosticar ventas necesitas primero pronosticar el PRECIO, porque es tu variable explicativa.</t>
  </si>
  <si>
    <t>No hubo investigación de otros métodos; sólo mencionó método simulación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</si>
</sst>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Calibri"/>
    </font>
    <font>
      <b/>
      <sz val="12"/>
      <name val="Calibri"/>
    </font>
    <font>
      <b/>
      <sz val="10"/>
      <name val="Calibri"/>
    </font>
    <font>
      <sz val="10"/>
      <name val="Calibri"/>
    </font>
    <font>
      <b/>
      <sz val="10"/>
      <color rgb="FF1F3864"/>
      <name val="Calibri"/>
    </font>
    <font>
      <b/>
      <sz val="10"/>
      <color rgb="FFFFFFFF"/>
      <name val="Calibri"/>
    </font>
    <font>
      <sz val="9"/>
      <color rgb="FF404040"/>
      <name val="Calibri"/>
    </font>
    <font>
      <b/>
      <sz val="13"/>
      <name val="Calibri"/>
    </font>
    <font>
      <b/>
      <sz val="14"/>
      <name val="Calibri"/>
    </font>
    <font>
      <i/>
      <sz val="10"/>
      <color rgb="FF404040"/>
      <name val="Calibri"/>
    </font>
  </fonts>
  <fills count="9">
    <fill>
      <patternFill patternType="none"/>
    </fill>
    <fill>
      <patternFill patternType="gray125"/>
    </fill>
    <fill>
      <patternFill patternType="solid">
        <fgColor rgb="FF1F3864"/>
      </patternFill>
    </fill>
    <fill>
      <patternFill patternType="solid">
        <fgColor rgb="FFD9E2F3"/>
      </patternFill>
    </fill>
    <fill>
      <patternFill patternType="solid">
        <fgColor rgb="FF2F5597"/>
      </patternFill>
    </fill>
    <fill>
      <patternFill patternType="solid">
        <fgColor rgb="FFE2EFDA"/>
      </patternFill>
    </fill>
    <fill>
      <patternFill patternType="solid">
        <fgColor rgb="FFFCE4E4"/>
      </patternFill>
    </fill>
    <fill>
      <patternFill patternType="solid">
        <fgColor rgb="FFFBE5D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3" fillId="0" borderId="0" xfId="0" applyFont="1"/>
    <xf numFmtId="0" fontId="4" fillId="0" borderId="0" xfId="0" applyFont="1" applyAlignment="1">
      <alignment vertical="top" wrapText="1"/>
    </xf>
    <xf numFmtId="0" fontId="6" fillId="4" borderId="0" xfId="0" applyFont="1" applyFill="1" applyAlignment="1">
      <alignment horizontal="center" vertical="center"/>
    </xf>
    <xf numFmtId="0" fontId="4" fillId="0" borderId="1" xfId="0" applyFont="1" applyBorder="1" applyAlignment="1">
      <alignment horizontal="center" vertical="center"/>
    </xf>
    <xf numFmtId="0" fontId="7" fillId="0" borderId="0" xfId="0" applyFont="1" applyAlignment="1">
      <alignment vertical="top" wrapText="1"/>
    </xf>
    <xf numFmtId="0" fontId="3" fillId="5" borderId="0" xfId="0" applyFont="1" applyFill="1" applyAlignment="1">
      <alignment horizontal="center" vertical="center"/>
    </xf>
    <xf numFmtId="0" fontId="7" fillId="0" borderId="0" xfId="0" applyFont="1"/>
    <xf numFmtId="0" fontId="3" fillId="3" borderId="0" xfId="0" applyFont="1" applyFill="1" applyAlignment="1">
      <alignment horizontal="center" vertical="center"/>
    </xf>
    <xf numFmtId="0" fontId="3" fillId="6" borderId="0" xfId="0" applyFont="1" applyFill="1" applyAlignment="1">
      <alignment horizontal="center" vertical="center"/>
    </xf>
    <xf numFmtId="0" fontId="8" fillId="0" borderId="0" xfId="0" applyFont="1"/>
    <xf numFmtId="0" fontId="9" fillId="5" borderId="0" xfId="0" applyFont="1" applyFill="1" applyAlignment="1">
      <alignment horizontal="center" vertical="center"/>
    </xf>
    <xf numFmtId="0" fontId="0" fillId="0" borderId="0" xfId="0"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center" vertical="center"/>
    </xf>
    <xf numFmtId="0" fontId="4" fillId="0" borderId="1" xfId="0" applyFont="1" applyBorder="1" applyAlignment="1">
      <alignment vertical="top" wrapText="1"/>
    </xf>
    <xf numFmtId="0" fontId="1" fillId="2" borderId="0" xfId="0" applyFont="1" applyFill="1" applyAlignment="1">
      <alignment horizontal="center" vertical="center"/>
    </xf>
    <xf numFmtId="0" fontId="0" fillId="0" borderId="0" xfId="0"/>
    <xf numFmtId="0" fontId="4" fillId="0" borderId="0" xfId="0" applyFont="1" applyAlignment="1">
      <alignment vertical="top" wrapText="1"/>
    </xf>
    <xf numFmtId="0" fontId="10" fillId="0" borderId="0" xfId="0" applyFont="1"/>
    <xf numFmtId="0" fontId="3" fillId="8" borderId="0" xfId="0" applyFont="1" applyFill="1"/>
    <xf numFmtId="0" fontId="3" fillId="5" borderId="0" xfId="0" applyFont="1" applyFill="1"/>
    <xf numFmtId="0" fontId="3" fillId="3" borderId="0" xfId="0" applyFont="1" applyFill="1"/>
    <xf numFmtId="0" fontId="2" fillId="0" borderId="0" xfId="0" applyFont="1"/>
    <xf numFmtId="0" fontId="5" fillId="3" borderId="0" xfId="0" applyFont="1" applyFill="1" applyAlignment="1">
      <alignment vertical="top" wrapText="1"/>
    </xf>
    <xf numFmtId="0" fontId="3" fillId="7" borderId="0" xfId="0" applyFont="1" applyFill="1"/>
    <xf numFmtId="0" fontId="3"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workbookViewId="0">
      <selection activeCell="E26" sqref="E26"/>
    </sheetView>
  </sheetViews>
  <sheetFormatPr defaultRowHeight="15" x14ac:dyDescent="0.25"/>
  <cols>
    <col min="1" max="1" width="40" customWidth="1"/>
    <col min="2" max="5" width="12" customWidth="1"/>
    <col min="6" max="6" width="82" customWidth="1"/>
  </cols>
  <sheetData>
    <row r="1" spans="1:6" ht="24" customHeight="1" x14ac:dyDescent="0.25">
      <c r="A1" s="16" t="s">
        <v>0</v>
      </c>
      <c r="B1" s="17"/>
      <c r="C1" s="17"/>
      <c r="D1" s="17"/>
      <c r="E1" s="17"/>
      <c r="F1" s="17"/>
    </row>
    <row r="2" spans="1:6" ht="15.75" x14ac:dyDescent="0.25">
      <c r="A2" s="23" t="s">
        <v>1</v>
      </c>
      <c r="B2" s="17"/>
      <c r="C2" s="17"/>
      <c r="D2" s="17"/>
      <c r="E2" s="17"/>
      <c r="F2" s="17"/>
    </row>
    <row r="3" spans="1:6" x14ac:dyDescent="0.25">
      <c r="A3" s="1" t="s">
        <v>2</v>
      </c>
      <c r="B3" s="18" t="s">
        <v>3</v>
      </c>
      <c r="C3" s="17"/>
      <c r="D3" s="17"/>
      <c r="E3" s="17"/>
      <c r="F3" s="17"/>
    </row>
    <row r="4" spans="1:6" x14ac:dyDescent="0.25">
      <c r="A4" s="1" t="s">
        <v>4</v>
      </c>
      <c r="B4" s="18" t="s">
        <v>5</v>
      </c>
      <c r="C4" s="17"/>
      <c r="D4" s="17"/>
      <c r="E4" s="17"/>
      <c r="F4" s="17"/>
    </row>
    <row r="5" spans="1:6" x14ac:dyDescent="0.25">
      <c r="A5" s="1" t="s">
        <v>6</v>
      </c>
      <c r="B5" s="18" t="s">
        <v>7</v>
      </c>
      <c r="C5" s="17"/>
      <c r="D5" s="17"/>
      <c r="E5" s="17"/>
      <c r="F5" s="17"/>
    </row>
    <row r="6" spans="1:6" x14ac:dyDescent="0.25">
      <c r="A6" s="1" t="s">
        <v>8</v>
      </c>
      <c r="B6" s="18" t="s">
        <v>9</v>
      </c>
      <c r="C6" s="17"/>
      <c r="D6" s="17"/>
      <c r="E6" s="17"/>
      <c r="F6" s="17"/>
    </row>
    <row r="7" spans="1:6" x14ac:dyDescent="0.25">
      <c r="A7" s="1" t="s">
        <v>10</v>
      </c>
      <c r="B7" s="18" t="s">
        <v>11</v>
      </c>
      <c r="C7" s="17"/>
      <c r="D7" s="17"/>
      <c r="E7" s="17"/>
      <c r="F7" s="17"/>
    </row>
    <row r="8" spans="1:6" x14ac:dyDescent="0.25">
      <c r="A8" s="1" t="s">
        <v>12</v>
      </c>
      <c r="B8" s="18" t="s">
        <v>13</v>
      </c>
      <c r="C8" s="17"/>
      <c r="D8" s="17"/>
      <c r="E8" s="17"/>
      <c r="F8" s="17"/>
    </row>
    <row r="10" spans="1:6" ht="44.1" customHeight="1" x14ac:dyDescent="0.25">
      <c r="A10" s="24" t="s">
        <v>14</v>
      </c>
      <c r="B10" s="17"/>
      <c r="C10" s="17"/>
      <c r="D10" s="17"/>
      <c r="E10" s="17"/>
      <c r="F10" s="17"/>
    </row>
    <row r="12" spans="1:6" x14ac:dyDescent="0.25">
      <c r="A12" s="22" t="s">
        <v>15</v>
      </c>
      <c r="B12" s="17"/>
      <c r="C12" s="17"/>
      <c r="D12" s="17"/>
      <c r="E12" s="17"/>
      <c r="F12" s="17"/>
    </row>
    <row r="13" spans="1:6" x14ac:dyDescent="0.25">
      <c r="A13" s="3" t="s">
        <v>16</v>
      </c>
      <c r="B13" s="3" t="s">
        <v>17</v>
      </c>
      <c r="C13" s="3" t="s">
        <v>18</v>
      </c>
      <c r="D13" s="3" t="s">
        <v>19</v>
      </c>
      <c r="E13" s="3" t="s">
        <v>20</v>
      </c>
      <c r="F13" s="3" t="s">
        <v>21</v>
      </c>
    </row>
    <row r="14" spans="1:6" ht="26.1" customHeight="1" x14ac:dyDescent="0.25">
      <c r="A14" s="2" t="s">
        <v>22</v>
      </c>
      <c r="B14" s="4">
        <v>25</v>
      </c>
      <c r="C14" s="4">
        <v>30</v>
      </c>
      <c r="D14" s="4">
        <v>14</v>
      </c>
      <c r="E14" s="4">
        <v>26.1</v>
      </c>
      <c r="F14" s="5" t="s">
        <v>23</v>
      </c>
    </row>
    <row r="15" spans="1:6" ht="26.1" customHeight="1" x14ac:dyDescent="0.25">
      <c r="A15" s="2" t="s">
        <v>24</v>
      </c>
      <c r="B15" s="4">
        <v>12</v>
      </c>
      <c r="C15" s="4">
        <v>15</v>
      </c>
      <c r="D15" s="4">
        <v>9</v>
      </c>
      <c r="E15" s="4">
        <v>13.2</v>
      </c>
      <c r="F15" s="5" t="s">
        <v>25</v>
      </c>
    </row>
    <row r="16" spans="1:6" ht="26.1" customHeight="1" x14ac:dyDescent="0.25">
      <c r="A16" s="2" t="s">
        <v>26</v>
      </c>
      <c r="B16" s="4">
        <v>8</v>
      </c>
      <c r="C16" s="4">
        <v>15</v>
      </c>
      <c r="D16" s="4">
        <v>8</v>
      </c>
      <c r="E16" s="4">
        <v>11.5</v>
      </c>
      <c r="F16" s="5" t="s">
        <v>27</v>
      </c>
    </row>
    <row r="17" spans="1:6" ht="26.1" customHeight="1" x14ac:dyDescent="0.25">
      <c r="A17" s="2" t="s">
        <v>28</v>
      </c>
      <c r="B17" s="4">
        <v>13</v>
      </c>
      <c r="C17" s="4">
        <v>15</v>
      </c>
      <c r="D17" s="4">
        <v>13</v>
      </c>
      <c r="E17" s="4">
        <v>14.3</v>
      </c>
      <c r="F17" s="5" t="s">
        <v>29</v>
      </c>
    </row>
    <row r="18" spans="1:6" ht="26.1" customHeight="1" x14ac:dyDescent="0.25">
      <c r="A18" s="2" t="s">
        <v>30</v>
      </c>
      <c r="B18" s="4">
        <v>19</v>
      </c>
      <c r="C18" s="4">
        <v>25</v>
      </c>
      <c r="D18" s="4">
        <v>17</v>
      </c>
      <c r="E18" s="4">
        <v>19.8</v>
      </c>
      <c r="F18" s="5" t="s">
        <v>31</v>
      </c>
    </row>
    <row r="19" spans="1:6" x14ac:dyDescent="0.25">
      <c r="A19" s="1" t="s">
        <v>32</v>
      </c>
      <c r="B19" s="6">
        <v>77</v>
      </c>
      <c r="C19" s="6">
        <v>100</v>
      </c>
      <c r="E19" s="6">
        <v>82.4</v>
      </c>
      <c r="F19" s="7" t="s">
        <v>33</v>
      </c>
    </row>
    <row r="21" spans="1:6" x14ac:dyDescent="0.25">
      <c r="A21" s="22" t="s">
        <v>34</v>
      </c>
      <c r="B21" s="17"/>
      <c r="C21" s="17"/>
      <c r="D21" s="17"/>
      <c r="E21" s="17"/>
      <c r="F21" s="17"/>
    </row>
    <row r="22" spans="1:6" x14ac:dyDescent="0.25">
      <c r="A22" s="3" t="s">
        <v>16</v>
      </c>
      <c r="B22" s="3" t="s">
        <v>17</v>
      </c>
      <c r="C22" s="3" t="s">
        <v>18</v>
      </c>
      <c r="D22" s="3" t="s">
        <v>35</v>
      </c>
      <c r="E22" s="3" t="s">
        <v>20</v>
      </c>
      <c r="F22" s="3" t="s">
        <v>21</v>
      </c>
    </row>
    <row r="23" spans="1:6" ht="26.1" customHeight="1" x14ac:dyDescent="0.25">
      <c r="A23" s="2" t="s">
        <v>36</v>
      </c>
      <c r="B23" s="4">
        <v>12</v>
      </c>
      <c r="C23" s="4">
        <v>20</v>
      </c>
      <c r="D23" s="4">
        <v>12</v>
      </c>
      <c r="E23" s="4">
        <v>16.8</v>
      </c>
      <c r="F23" s="5" t="s">
        <v>37</v>
      </c>
    </row>
    <row r="24" spans="1:6" ht="26.1" customHeight="1" x14ac:dyDescent="0.25">
      <c r="A24" s="2" t="s">
        <v>38</v>
      </c>
      <c r="B24" s="4">
        <v>25</v>
      </c>
      <c r="C24" s="4">
        <v>30</v>
      </c>
      <c r="D24" s="4">
        <v>25</v>
      </c>
      <c r="E24" s="4">
        <v>27.4</v>
      </c>
      <c r="F24" s="5" t="s">
        <v>39</v>
      </c>
    </row>
    <row r="25" spans="1:6" ht="26.1" customHeight="1" x14ac:dyDescent="0.25">
      <c r="A25" s="2" t="s">
        <v>40</v>
      </c>
      <c r="B25" s="4">
        <v>18</v>
      </c>
      <c r="C25" s="4">
        <v>30</v>
      </c>
      <c r="D25" s="4">
        <v>18</v>
      </c>
      <c r="E25" s="4">
        <v>25.8</v>
      </c>
      <c r="F25" s="5" t="s">
        <v>41</v>
      </c>
    </row>
    <row r="26" spans="1:6" ht="26.1" customHeight="1" x14ac:dyDescent="0.25">
      <c r="A26" s="2" t="s">
        <v>42</v>
      </c>
      <c r="B26" s="4">
        <v>10</v>
      </c>
      <c r="C26" s="4">
        <v>20</v>
      </c>
      <c r="D26" s="4">
        <v>10</v>
      </c>
      <c r="E26" s="4">
        <v>16</v>
      </c>
      <c r="F26" s="5" t="s">
        <v>112</v>
      </c>
    </row>
    <row r="27" spans="1:6" x14ac:dyDescent="0.25">
      <c r="A27" s="1" t="s">
        <v>43</v>
      </c>
      <c r="B27" s="8">
        <v>75</v>
      </c>
      <c r="C27" s="8">
        <v>100</v>
      </c>
      <c r="D27" s="8">
        <v>75</v>
      </c>
    </row>
    <row r="28" spans="1:6" ht="30" customHeight="1" x14ac:dyDescent="0.25">
      <c r="A28" s="1" t="s">
        <v>44</v>
      </c>
      <c r="B28" s="9">
        <v>-5</v>
      </c>
      <c r="F28" s="5" t="s">
        <v>108</v>
      </c>
    </row>
    <row r="29" spans="1:6" x14ac:dyDescent="0.25">
      <c r="A29" s="1" t="s">
        <v>45</v>
      </c>
      <c r="B29" s="6">
        <v>60</v>
      </c>
      <c r="C29" s="6">
        <v>100</v>
      </c>
      <c r="D29" s="6">
        <v>75</v>
      </c>
      <c r="E29" s="6">
        <v>88.5</v>
      </c>
      <c r="F29" s="7" t="s">
        <v>46</v>
      </c>
    </row>
    <row r="31" spans="1:6" x14ac:dyDescent="0.25">
      <c r="A31" s="22" t="s">
        <v>109</v>
      </c>
      <c r="B31" s="17"/>
      <c r="C31" s="17"/>
      <c r="D31" s="17"/>
      <c r="E31" s="17"/>
      <c r="F31" s="17"/>
    </row>
    <row r="32" spans="1:6" ht="24" customHeight="1" x14ac:dyDescent="0.3">
      <c r="A32" s="10" t="s">
        <v>47</v>
      </c>
      <c r="B32" s="11">
        <f>ROUND(AVERAGE(B29,B19),0)</f>
        <v>69</v>
      </c>
      <c r="C32" s="12">
        <v>100</v>
      </c>
      <c r="D32" s="12">
        <v>76.2</v>
      </c>
      <c r="E32" s="12">
        <v>84.9</v>
      </c>
      <c r="F32" s="5" t="s">
        <v>48</v>
      </c>
    </row>
    <row r="34" spans="1:6" x14ac:dyDescent="0.25">
      <c r="A34" s="21" t="s">
        <v>49</v>
      </c>
      <c r="B34" s="17"/>
      <c r="C34" s="17"/>
      <c r="D34" s="17"/>
      <c r="E34" s="17"/>
      <c r="F34" s="17"/>
    </row>
    <row r="35" spans="1:6" ht="68.099999999999994" customHeight="1" x14ac:dyDescent="0.25">
      <c r="A35" s="18" t="s">
        <v>110</v>
      </c>
      <c r="B35" s="17"/>
      <c r="C35" s="17"/>
      <c r="D35" s="17"/>
      <c r="E35" s="17"/>
      <c r="F35" s="17"/>
    </row>
    <row r="37" spans="1:6" x14ac:dyDescent="0.25">
      <c r="A37" s="25" t="s">
        <v>50</v>
      </c>
      <c r="B37" s="17"/>
      <c r="C37" s="17"/>
      <c r="D37" s="17"/>
      <c r="E37" s="17"/>
      <c r="F37" s="17"/>
    </row>
    <row r="38" spans="1:6" ht="45" customHeight="1" x14ac:dyDescent="0.25">
      <c r="A38" s="18" t="s">
        <v>51</v>
      </c>
      <c r="B38" s="17"/>
      <c r="C38" s="17"/>
      <c r="D38" s="17"/>
      <c r="E38" s="17"/>
      <c r="F38" s="17"/>
    </row>
    <row r="40" spans="1:6" x14ac:dyDescent="0.25">
      <c r="A40" s="22" t="s">
        <v>52</v>
      </c>
      <c r="B40" s="17"/>
      <c r="C40" s="17"/>
      <c r="D40" s="17"/>
      <c r="E40" s="17"/>
      <c r="F40" s="17"/>
    </row>
    <row r="41" spans="1:6" ht="123.75" customHeight="1" x14ac:dyDescent="0.25">
      <c r="A41" s="18" t="s">
        <v>53</v>
      </c>
      <c r="B41" s="17"/>
      <c r="C41" s="17"/>
      <c r="D41" s="17"/>
      <c r="E41" s="17"/>
      <c r="F41" s="17"/>
    </row>
    <row r="43" spans="1:6" x14ac:dyDescent="0.25">
      <c r="A43" s="22" t="s">
        <v>54</v>
      </c>
      <c r="B43" s="17"/>
      <c r="C43" s="17"/>
      <c r="D43" s="17"/>
      <c r="E43" s="17"/>
      <c r="F43" s="17"/>
    </row>
    <row r="44" spans="1:6" ht="103.15" customHeight="1" x14ac:dyDescent="0.25">
      <c r="A44" s="18" t="s">
        <v>55</v>
      </c>
      <c r="B44" s="17"/>
      <c r="C44" s="17"/>
      <c r="D44" s="17"/>
      <c r="E44" s="17"/>
      <c r="F44" s="17"/>
    </row>
    <row r="46" spans="1:6" x14ac:dyDescent="0.25">
      <c r="A46" s="22" t="s">
        <v>56</v>
      </c>
      <c r="B46" s="17"/>
      <c r="C46" s="17"/>
      <c r="D46" s="17"/>
      <c r="E46" s="17"/>
      <c r="F46" s="17"/>
    </row>
    <row r="47" spans="1:6" ht="143.44999999999999" customHeight="1" x14ac:dyDescent="0.25">
      <c r="A47" s="18" t="s">
        <v>57</v>
      </c>
      <c r="B47" s="17"/>
      <c r="C47" s="17"/>
      <c r="D47" s="17"/>
      <c r="E47" s="17"/>
      <c r="F47" s="17"/>
    </row>
    <row r="49" spans="1:6" x14ac:dyDescent="0.25">
      <c r="A49" s="22" t="s">
        <v>58</v>
      </c>
      <c r="B49" s="17"/>
      <c r="C49" s="17"/>
      <c r="D49" s="17"/>
      <c r="E49" s="17"/>
      <c r="F49" s="17"/>
    </row>
    <row r="50" spans="1:6" ht="80.45" customHeight="1" x14ac:dyDescent="0.25">
      <c r="A50" s="18" t="s">
        <v>111</v>
      </c>
      <c r="B50" s="17"/>
      <c r="C50" s="17"/>
      <c r="D50" s="17"/>
      <c r="E50" s="17"/>
      <c r="F50" s="17"/>
    </row>
    <row r="52" spans="1:6" x14ac:dyDescent="0.25">
      <c r="A52" s="20" t="s">
        <v>59</v>
      </c>
      <c r="B52" s="17"/>
      <c r="C52" s="17"/>
      <c r="D52" s="17"/>
      <c r="E52" s="17"/>
      <c r="F52" s="17"/>
    </row>
    <row r="53" spans="1:6" ht="184.15" customHeight="1" x14ac:dyDescent="0.25">
      <c r="A53" s="18" t="s">
        <v>60</v>
      </c>
      <c r="B53" s="17"/>
      <c r="C53" s="17"/>
      <c r="D53" s="17"/>
      <c r="E53" s="17"/>
      <c r="F53" s="17"/>
    </row>
    <row r="55" spans="1:6" x14ac:dyDescent="0.25">
      <c r="A55" s="20" t="s">
        <v>61</v>
      </c>
      <c r="B55" s="17"/>
      <c r="C55" s="17"/>
      <c r="D55" s="17"/>
      <c r="E55" s="17"/>
      <c r="F55" s="17"/>
    </row>
    <row r="56" spans="1:6" ht="132" customHeight="1" x14ac:dyDescent="0.25">
      <c r="A56" s="18" t="s">
        <v>62</v>
      </c>
      <c r="B56" s="17"/>
      <c r="C56" s="17"/>
      <c r="D56" s="17"/>
      <c r="E56" s="17"/>
      <c r="F56" s="17"/>
    </row>
    <row r="58" spans="1:6" x14ac:dyDescent="0.25">
      <c r="A58" s="20" t="s">
        <v>63</v>
      </c>
      <c r="B58" s="17"/>
      <c r="C58" s="17"/>
      <c r="D58" s="17"/>
      <c r="E58" s="17"/>
      <c r="F58" s="17"/>
    </row>
    <row r="59" spans="1:6" ht="46.35" customHeight="1" x14ac:dyDescent="0.25">
      <c r="A59" s="18" t="s">
        <v>64</v>
      </c>
      <c r="B59" s="17"/>
      <c r="C59" s="17"/>
      <c r="D59" s="17"/>
      <c r="E59" s="17"/>
      <c r="F59" s="17"/>
    </row>
    <row r="61" spans="1:6" x14ac:dyDescent="0.25">
      <c r="A61" s="19" t="s">
        <v>65</v>
      </c>
      <c r="B61" s="17"/>
      <c r="C61" s="17"/>
      <c r="D61" s="17"/>
      <c r="E61" s="17"/>
      <c r="F61" s="17"/>
    </row>
  </sheetData>
  <mergeCells count="31">
    <mergeCell ref="A50:F50"/>
    <mergeCell ref="A56:F56"/>
    <mergeCell ref="A21:F21"/>
    <mergeCell ref="A55:F55"/>
    <mergeCell ref="B4:F4"/>
    <mergeCell ref="A41:F41"/>
    <mergeCell ref="B7:F7"/>
    <mergeCell ref="A46:F46"/>
    <mergeCell ref="A37:F37"/>
    <mergeCell ref="A10:F10"/>
    <mergeCell ref="A44:F44"/>
    <mergeCell ref="A31:F31"/>
    <mergeCell ref="B6:F6"/>
    <mergeCell ref="B3:F3"/>
    <mergeCell ref="A12:F12"/>
    <mergeCell ref="A1:F1"/>
    <mergeCell ref="B5:F5"/>
    <mergeCell ref="A61:F61"/>
    <mergeCell ref="A58:F58"/>
    <mergeCell ref="A34:F34"/>
    <mergeCell ref="A40:F40"/>
    <mergeCell ref="A59:F59"/>
    <mergeCell ref="A49:F49"/>
    <mergeCell ref="A2:F2"/>
    <mergeCell ref="A47:F47"/>
    <mergeCell ref="A35:F35"/>
    <mergeCell ref="B8:F8"/>
    <mergeCell ref="A53:F53"/>
    <mergeCell ref="A43:F43"/>
    <mergeCell ref="A38:F38"/>
    <mergeCell ref="A52:F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workbookViewId="0"/>
  </sheetViews>
  <sheetFormatPr defaultRowHeight="15" x14ac:dyDescent="0.25"/>
  <cols>
    <col min="1" max="1" width="42" customWidth="1"/>
    <col min="2" max="2" width="10" customWidth="1"/>
    <col min="3" max="3" width="118" customWidth="1"/>
  </cols>
  <sheetData>
    <row r="1" spans="1:3" ht="24" customHeight="1" x14ac:dyDescent="0.25">
      <c r="A1" s="16" t="s">
        <v>66</v>
      </c>
      <c r="B1" s="17"/>
      <c r="C1" s="17"/>
    </row>
    <row r="2" spans="1:3" x14ac:dyDescent="0.25">
      <c r="A2" s="19" t="s">
        <v>67</v>
      </c>
      <c r="B2" s="17"/>
      <c r="C2" s="17"/>
    </row>
    <row r="4" spans="1:3" x14ac:dyDescent="0.25">
      <c r="A4" s="22" t="s">
        <v>68</v>
      </c>
      <c r="B4" s="17"/>
      <c r="C4" s="17"/>
    </row>
    <row r="5" spans="1:3" x14ac:dyDescent="0.25">
      <c r="A5" s="3" t="s">
        <v>16</v>
      </c>
      <c r="B5" s="3" t="s">
        <v>69</v>
      </c>
      <c r="C5" s="3" t="s">
        <v>70</v>
      </c>
    </row>
    <row r="6" spans="1:3" ht="48" customHeight="1" x14ac:dyDescent="0.25">
      <c r="A6" s="13" t="s">
        <v>22</v>
      </c>
      <c r="B6" s="14" t="s">
        <v>71</v>
      </c>
      <c r="C6" s="15" t="s">
        <v>72</v>
      </c>
    </row>
    <row r="7" spans="1:3" ht="48" customHeight="1" x14ac:dyDescent="0.25">
      <c r="A7" s="13" t="s">
        <v>24</v>
      </c>
      <c r="B7" s="14" t="s">
        <v>73</v>
      </c>
      <c r="C7" s="15" t="s">
        <v>74</v>
      </c>
    </row>
    <row r="8" spans="1:3" ht="48" customHeight="1" x14ac:dyDescent="0.25">
      <c r="A8" s="13" t="s">
        <v>26</v>
      </c>
      <c r="B8" s="14" t="s">
        <v>73</v>
      </c>
      <c r="C8" s="15" t="s">
        <v>75</v>
      </c>
    </row>
    <row r="9" spans="1:3" ht="48" customHeight="1" x14ac:dyDescent="0.25">
      <c r="A9" s="13" t="s">
        <v>28</v>
      </c>
      <c r="B9" s="14" t="s">
        <v>73</v>
      </c>
      <c r="C9" s="15" t="s">
        <v>76</v>
      </c>
    </row>
    <row r="10" spans="1:3" ht="96" customHeight="1" x14ac:dyDescent="0.25">
      <c r="A10" s="13" t="s">
        <v>30</v>
      </c>
      <c r="B10" s="14" t="s">
        <v>77</v>
      </c>
      <c r="C10" s="15" t="s">
        <v>78</v>
      </c>
    </row>
    <row r="12" spans="1:3" x14ac:dyDescent="0.25">
      <c r="A12" s="22" t="s">
        <v>79</v>
      </c>
      <c r="B12" s="17"/>
      <c r="C12" s="17"/>
    </row>
    <row r="13" spans="1:3" x14ac:dyDescent="0.25">
      <c r="A13" s="3" t="s">
        <v>16</v>
      </c>
      <c r="B13" s="3" t="s">
        <v>69</v>
      </c>
      <c r="C13" s="3" t="s">
        <v>70</v>
      </c>
    </row>
    <row r="14" spans="1:3" ht="72" customHeight="1" x14ac:dyDescent="0.25">
      <c r="A14" s="13" t="s">
        <v>36</v>
      </c>
      <c r="B14" s="14" t="s">
        <v>80</v>
      </c>
      <c r="C14" s="15" t="s">
        <v>81</v>
      </c>
    </row>
    <row r="15" spans="1:3" ht="84" customHeight="1" x14ac:dyDescent="0.25">
      <c r="A15" s="13" t="s">
        <v>82</v>
      </c>
      <c r="B15" s="14" t="s">
        <v>83</v>
      </c>
      <c r="C15" s="15" t="s">
        <v>84</v>
      </c>
    </row>
    <row r="16" spans="1:3" ht="36" customHeight="1" x14ac:dyDescent="0.25">
      <c r="A16" s="13" t="s">
        <v>85</v>
      </c>
      <c r="B16" s="14" t="s">
        <v>80</v>
      </c>
      <c r="C16" s="15" t="s">
        <v>86</v>
      </c>
    </row>
    <row r="18" spans="1:3" x14ac:dyDescent="0.25">
      <c r="A18" s="26" t="s">
        <v>87</v>
      </c>
      <c r="B18" s="17"/>
      <c r="C18" s="17"/>
    </row>
    <row r="19" spans="1:3" x14ac:dyDescent="0.25">
      <c r="A19" s="3" t="s">
        <v>16</v>
      </c>
      <c r="B19" s="3" t="s">
        <v>69</v>
      </c>
      <c r="C19" s="3" t="s">
        <v>70</v>
      </c>
    </row>
    <row r="20" spans="1:3" ht="48" customHeight="1" x14ac:dyDescent="0.25">
      <c r="A20" s="13" t="s">
        <v>88</v>
      </c>
      <c r="B20" s="14" t="s">
        <v>89</v>
      </c>
      <c r="C20" s="15" t="s">
        <v>90</v>
      </c>
    </row>
    <row r="22" spans="1:3" x14ac:dyDescent="0.25">
      <c r="A22" s="21" t="s">
        <v>91</v>
      </c>
      <c r="B22" s="17"/>
      <c r="C22" s="17"/>
    </row>
    <row r="23" spans="1:3" x14ac:dyDescent="0.25">
      <c r="A23" s="3" t="s">
        <v>16</v>
      </c>
      <c r="B23" s="3" t="s">
        <v>69</v>
      </c>
      <c r="C23" s="3" t="s">
        <v>70</v>
      </c>
    </row>
    <row r="24" spans="1:3" ht="30" customHeight="1" x14ac:dyDescent="0.25">
      <c r="A24" s="13" t="s">
        <v>92</v>
      </c>
      <c r="B24" s="14" t="s">
        <v>93</v>
      </c>
      <c r="C24" s="15" t="s">
        <v>94</v>
      </c>
    </row>
    <row r="25" spans="1:3" ht="30" customHeight="1" x14ac:dyDescent="0.25">
      <c r="A25" s="13" t="s">
        <v>95</v>
      </c>
      <c r="B25" s="14" t="s">
        <v>96</v>
      </c>
      <c r="C25" s="15" t="s">
        <v>97</v>
      </c>
    </row>
    <row r="26" spans="1:3" ht="30" customHeight="1" x14ac:dyDescent="0.25">
      <c r="A26" s="13" t="s">
        <v>47</v>
      </c>
      <c r="B26" s="14" t="s">
        <v>98</v>
      </c>
      <c r="C26" s="15"/>
    </row>
    <row r="27" spans="1:3" ht="48" customHeight="1" x14ac:dyDescent="0.25">
      <c r="A27" s="13" t="s">
        <v>99</v>
      </c>
      <c r="B27" s="14" t="s">
        <v>100</v>
      </c>
      <c r="C27" s="15" t="s">
        <v>101</v>
      </c>
    </row>
    <row r="29" spans="1:3" x14ac:dyDescent="0.25">
      <c r="A29" s="20" t="s">
        <v>102</v>
      </c>
      <c r="B29" s="17"/>
      <c r="C29" s="17"/>
    </row>
    <row r="30" spans="1:3" x14ac:dyDescent="0.25">
      <c r="A30" s="3" t="s">
        <v>16</v>
      </c>
      <c r="B30" s="3" t="s">
        <v>69</v>
      </c>
      <c r="C30" s="3" t="s">
        <v>70</v>
      </c>
    </row>
    <row r="31" spans="1:3" ht="84" customHeight="1" x14ac:dyDescent="0.25">
      <c r="A31" s="13" t="s">
        <v>103</v>
      </c>
      <c r="B31" s="14" t="s">
        <v>100</v>
      </c>
      <c r="C31" s="15" t="s">
        <v>104</v>
      </c>
    </row>
    <row r="32" spans="1:3" ht="72" customHeight="1" x14ac:dyDescent="0.25">
      <c r="A32" s="13" t="s">
        <v>105</v>
      </c>
      <c r="B32" s="14" t="s">
        <v>106</v>
      </c>
      <c r="C32" s="15" t="s">
        <v>107</v>
      </c>
    </row>
  </sheetData>
  <mergeCells count="7">
    <mergeCell ref="A29:C29"/>
    <mergeCell ref="A1:C1"/>
    <mergeCell ref="A22:C22"/>
    <mergeCell ref="A18:C18"/>
    <mergeCell ref="A12:C12"/>
    <mergeCell ref="A4:C4"/>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 calificación final</vt:lpstr>
      <vt:lpstr>Rúbrica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Alberto Dorantes Dosamantes</cp:lastModifiedBy>
  <dcterms:created xsi:type="dcterms:W3CDTF">2026-09-14T13:52:48Z</dcterms:created>
  <dcterms:modified xsi:type="dcterms:W3CDTF">2026-09-14T14:13:29Z</dcterms:modified>
</cp:coreProperties>
</file>